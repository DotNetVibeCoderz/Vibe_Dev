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" sheetId="1" state="visible" r:id="rId1"/>
    <sheet xmlns:r="http://schemas.openxmlformats.org/officeDocument/2006/relationships" name="2026-08" sheetId="2" state="visible" r:id="rId2"/>
    <sheet xmlns:r="http://schemas.openxmlformats.org/officeDocument/2006/relationships" name="2026-09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7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2026-07-01</t>
        </is>
      </c>
      <c r="B2" t="inlineStr">
        <is>
          <t>Supermart - weekly groceries</t>
        </is>
      </c>
      <c r="C2" t="inlineStr">
        <is>
          <t>Groceries</t>
        </is>
      </c>
      <c r="D2" t="n">
        <v>185000</v>
      </c>
    </row>
    <row r="3">
      <c r="A3" t="inlineStr">
        <is>
          <t>2026-07-02</t>
        </is>
      </c>
      <c r="B3" t="inlineStr">
        <is>
          <t>City Bus Ticket</t>
        </is>
      </c>
      <c r="C3" t="inlineStr">
        <is>
          <t>Transport</t>
        </is>
      </c>
      <c r="D3" t="n">
        <v>12000</v>
      </c>
    </row>
    <row r="4">
      <c r="A4" t="inlineStr">
        <is>
          <t>2026-07-02</t>
        </is>
      </c>
      <c r="B4" t="inlineStr">
        <is>
          <t>Electricity Bill</t>
        </is>
      </c>
      <c r="C4" t="inlineStr">
        <is>
          <t>Utilities</t>
        </is>
      </c>
      <c r="D4" t="n">
        <v>450000</v>
      </c>
    </row>
    <row r="5">
      <c r="A5" t="inlineStr">
        <is>
          <t>2026-07-03</t>
        </is>
      </c>
      <c r="B5" t="inlineStr">
        <is>
          <t>Movie Theater</t>
        </is>
      </c>
      <c r="C5" t="inlineStr">
        <is>
          <t>Entertainment</t>
        </is>
      </c>
      <c r="D5" t="n">
        <v>85000</v>
      </c>
    </row>
    <row r="6">
      <c r="A6" t="inlineStr">
        <is>
          <t>2026-07-04</t>
        </is>
      </c>
      <c r="B6" t="inlineStr">
        <is>
          <t>Cafe Latte and pastry</t>
        </is>
      </c>
      <c r="C6" t="inlineStr">
        <is>
          <t>Dining</t>
        </is>
      </c>
      <c r="D6" t="n">
        <v>54000</v>
      </c>
    </row>
    <row r="7">
      <c r="A7" t="inlineStr">
        <is>
          <t>2026-07-05</t>
        </is>
      </c>
      <c r="B7" t="inlineStr">
        <is>
          <t>Office Printer Paper</t>
        </is>
      </c>
      <c r="C7" t="inlineStr">
        <is>
          <t>Office Supplies</t>
        </is>
      </c>
      <c r="D7" t="n">
        <v>76000</v>
      </c>
    </row>
    <row r="8">
      <c r="A8" t="inlineStr">
        <is>
          <t>2026-07-06</t>
        </is>
      </c>
      <c r="B8" t="inlineStr">
        <is>
          <t>Taxi to airport</t>
        </is>
      </c>
      <c r="C8" t="inlineStr">
        <is>
          <t>Transport</t>
        </is>
      </c>
      <c r="D8" t="n">
        <v>85000</v>
      </c>
    </row>
    <row r="9">
      <c r="A9" t="inlineStr">
        <is>
          <t>2026-07-07</t>
        </is>
      </c>
      <c r="B9" t="inlineStr">
        <is>
          <t>Hotel - business trip</t>
        </is>
      </c>
      <c r="C9" t="inlineStr">
        <is>
          <t>Travel</t>
        </is>
      </c>
      <c r="D9" t="n">
        <v>1250000</v>
      </c>
    </row>
    <row r="10">
      <c r="A10" t="inlineStr">
        <is>
          <t>2026-07-08</t>
        </is>
      </c>
      <c r="B10" t="inlineStr">
        <is>
          <t>Clinic consultation</t>
        </is>
      </c>
      <c r="C10" t="inlineStr">
        <is>
          <t>Healthcare</t>
        </is>
      </c>
      <c r="D10" t="n">
        <v>200000</v>
      </c>
    </row>
    <row r="11">
      <c r="A11" t="inlineStr">
        <is>
          <t>2026-07-09</t>
        </is>
      </c>
      <c r="B11" t="inlineStr">
        <is>
          <t>Streaming Service Subscription</t>
        </is>
      </c>
      <c r="C11" t="inlineStr">
        <is>
          <t>Subscriptions</t>
        </is>
      </c>
      <c r="D11" t="n">
        <v>99000</v>
      </c>
    </row>
    <row r="12">
      <c r="A12" t="inlineStr">
        <is>
          <t>2026-07-10</t>
        </is>
      </c>
      <c r="B12" t="inlineStr">
        <is>
          <t>Monthly Rent</t>
        </is>
      </c>
      <c r="C12" t="inlineStr">
        <is>
          <t>Rent</t>
        </is>
      </c>
      <c r="D12" t="n">
        <v>3000000</v>
      </c>
    </row>
    <row r="13">
      <c r="A13" t="inlineStr">
        <is>
          <t>2026-07-11</t>
        </is>
      </c>
      <c r="B13" t="inlineStr">
        <is>
          <t>Cornerstore - snacks</t>
        </is>
      </c>
      <c r="C13" t="inlineStr">
        <is>
          <t>Groceries</t>
        </is>
      </c>
      <c r="D13" t="n">
        <v>47000</v>
      </c>
    </row>
    <row r="14">
      <c r="A14" t="inlineStr">
        <is>
          <t>2026-07-12</t>
        </is>
      </c>
      <c r="B14" t="inlineStr">
        <is>
          <t>Intercity Train</t>
        </is>
      </c>
      <c r="C14" t="inlineStr">
        <is>
          <t>Travel</t>
        </is>
      </c>
      <c r="D14" t="n">
        <v>230000</v>
      </c>
    </row>
    <row r="15">
      <c r="A15" t="inlineStr">
        <is>
          <t>2026-07-13</t>
        </is>
      </c>
      <c r="B15" t="inlineStr">
        <is>
          <t>Office Stapler</t>
        </is>
      </c>
      <c r="C15" t="inlineStr">
        <is>
          <t>Office Supplies</t>
        </is>
      </c>
      <c r="D15" t="n">
        <v>45000</v>
      </c>
    </row>
    <row r="16">
      <c r="A16" t="inlineStr">
        <is>
          <t>2026-07-14</t>
        </is>
      </c>
      <c r="B16" t="inlineStr">
        <is>
          <t>Friends dinner</t>
        </is>
      </c>
      <c r="C16" t="inlineStr">
        <is>
          <t>Dining</t>
        </is>
      </c>
      <c r="D16" t="n">
        <v>210000</v>
      </c>
    </row>
    <row r="17">
      <c r="A17" t="inlineStr">
        <is>
          <t>2026-07-15</t>
        </is>
      </c>
      <c r="B17" t="inlineStr">
        <is>
          <t>Pharmacy - medicine</t>
        </is>
      </c>
      <c r="C17" t="inlineStr">
        <is>
          <t>Healthcare</t>
        </is>
      </c>
      <c r="D17" t="n">
        <v>125000</v>
      </c>
    </row>
    <row r="18">
      <c r="A18" t="inlineStr">
        <is>
          <t>2026-07-16</t>
        </is>
      </c>
      <c r="B18" t="inlineStr">
        <is>
          <t>Taxi home</t>
        </is>
      </c>
      <c r="C18" t="inlineStr">
        <is>
          <t>Transport</t>
        </is>
      </c>
      <c r="D18" t="n">
        <v>60000</v>
      </c>
    </row>
    <row r="19">
      <c r="A19" t="inlineStr">
        <is>
          <t>2026-07-17</t>
        </is>
      </c>
      <c r="B19" t="inlineStr">
        <is>
          <t>Utilities - Water</t>
        </is>
      </c>
      <c r="C19" t="inlineStr">
        <is>
          <t>Utilities</t>
        </is>
      </c>
      <c r="D19" t="n">
        <v>75000</v>
      </c>
    </row>
    <row r="20">
      <c r="A20" t="inlineStr">
        <is>
          <t>2026-07-18</t>
        </is>
      </c>
      <c r="B20" t="inlineStr">
        <is>
          <t>Concert tickets</t>
        </is>
      </c>
      <c r="C20" t="inlineStr">
        <is>
          <t>Entertainment</t>
        </is>
      </c>
      <c r="D20" t="n">
        <v>360000</v>
      </c>
    </row>
    <row r="21">
      <c r="A21" t="inlineStr">
        <is>
          <t>2026-07-19</t>
        </is>
      </c>
      <c r="B21" t="inlineStr">
        <is>
          <t>Supermart - fruits</t>
        </is>
      </c>
      <c r="C21" t="inlineStr">
        <is>
          <t>Groceries</t>
        </is>
      </c>
      <c r="D21" t="n">
        <v>92000</v>
      </c>
    </row>
    <row r="22">
      <c r="A22" t="inlineStr">
        <is>
          <t>2026-07-20</t>
        </is>
      </c>
      <c r="B22" t="inlineStr">
        <is>
          <t>Co-working day pass</t>
        </is>
      </c>
      <c r="C22" t="inlineStr">
        <is>
          <t>Office Supplies</t>
        </is>
      </c>
      <c r="D22" t="n">
        <v>150000</v>
      </c>
    </row>
    <row r="23">
      <c r="A23" t="inlineStr">
        <is>
          <t>2026-07-21</t>
        </is>
      </c>
      <c r="B23" t="inlineStr">
        <is>
          <t>Coffee meeting</t>
        </is>
      </c>
      <c r="C23" t="inlineStr">
        <is>
          <t>Dining</t>
        </is>
      </c>
      <c r="D23" t="n">
        <v>68000</v>
      </c>
    </row>
    <row r="24">
      <c r="A24" t="inlineStr">
        <is>
          <t>2026-07-22</t>
        </is>
      </c>
      <c r="B24" t="inlineStr">
        <is>
          <t>Airport parking</t>
        </is>
      </c>
      <c r="C24" t="inlineStr">
        <is>
          <t>Travel</t>
        </is>
      </c>
      <c r="D24" t="n">
        <v>98000</v>
      </c>
    </row>
    <row r="25">
      <c r="A25" t="inlineStr">
        <is>
          <t>2026-07-23</t>
        </is>
      </c>
      <c r="B25" t="inlineStr">
        <is>
          <t>Yoga class</t>
        </is>
      </c>
      <c r="C25" t="inlineStr">
        <is>
          <t>Healthcare</t>
        </is>
      </c>
      <c r="D25" t="n">
        <v>85000</v>
      </c>
    </row>
    <row r="26">
      <c r="A26" t="inlineStr">
        <is>
          <t>2026-07-24</t>
        </is>
      </c>
      <c r="B26" t="inlineStr">
        <is>
          <t>Online Magazine Subscription</t>
        </is>
      </c>
      <c r="C26" t="inlineStr">
        <is>
          <t>Subscriptions</t>
        </is>
      </c>
      <c r="D26" t="n">
        <v>45000</v>
      </c>
    </row>
    <row r="27">
      <c r="A27" t="inlineStr">
        <is>
          <t>2026-07-25</t>
        </is>
      </c>
      <c r="B27" t="inlineStr">
        <is>
          <t>Bus card top-up</t>
        </is>
      </c>
      <c r="C27" t="inlineStr">
        <is>
          <t>Transport</t>
        </is>
      </c>
      <c r="D27" t="n">
        <v>100000</v>
      </c>
    </row>
    <row r="28">
      <c r="A28" t="inlineStr">
        <is>
          <t>2026-07-26</t>
        </is>
      </c>
      <c r="B28" t="inlineStr">
        <is>
          <t>Utilities - Internet</t>
        </is>
      </c>
      <c r="C28" t="inlineStr">
        <is>
          <t>Utilities</t>
        </is>
      </c>
      <c r="D28" t="n">
        <v>300000</v>
      </c>
    </row>
    <row r="29">
      <c r="A29" t="inlineStr">
        <is>
          <t>2026-07-27</t>
        </is>
      </c>
      <c r="B29" t="inlineStr">
        <is>
          <t>BBQ with friends</t>
        </is>
      </c>
      <c r="C29" t="inlineStr">
        <is>
          <t>Entertainment</t>
        </is>
      </c>
      <c r="D29" t="n">
        <v>175000</v>
      </c>
    </row>
    <row r="30">
      <c r="A30" t="inlineStr">
        <is>
          <t>2026-07-28</t>
        </is>
      </c>
      <c r="B30" t="inlineStr">
        <is>
          <t>Supermart - staples</t>
        </is>
      </c>
      <c r="C30" t="inlineStr">
        <is>
          <t>Groceries</t>
        </is>
      </c>
      <c r="D30" t="n">
        <v>210000</v>
      </c>
    </row>
    <row r="31">
      <c r="A31" t="inlineStr">
        <is>
          <t>2026-07-29</t>
        </is>
      </c>
      <c r="B31" t="inlineStr">
        <is>
          <t>Office desk lamp</t>
        </is>
      </c>
      <c r="C31" t="inlineStr">
        <is>
          <t>Office Supplies</t>
        </is>
      </c>
      <c r="D31" t="n">
        <v>220000</v>
      </c>
    </row>
    <row r="32">
      <c r="A32" t="inlineStr">
        <is>
          <t>2026-07-30</t>
        </is>
      </c>
      <c r="B32" t="inlineStr">
        <is>
          <t>Taxi - night fare</t>
        </is>
      </c>
      <c r="C32" t="inlineStr">
        <is>
          <t>Transport</t>
        </is>
      </c>
      <c r="D32" t="n">
        <v>78000</v>
      </c>
    </row>
    <row r="33">
      <c r="A33" t="inlineStr">
        <is>
          <t>2026-07-31</t>
        </is>
      </c>
      <c r="B33" t="inlineStr">
        <is>
          <t>Medicines and vitamins</t>
        </is>
      </c>
      <c r="C33" t="inlineStr">
        <is>
          <t>Healthcare</t>
        </is>
      </c>
      <c r="D33" t="n">
        <v>92000</v>
      </c>
    </row>
    <row r="34"/>
    <row r="35">
      <c r="A35" s="1" t="inlineStr">
        <is>
          <t>Category</t>
        </is>
      </c>
      <c r="B35" s="1" t="inlineStr">
        <is>
          <t>Subtotal</t>
        </is>
      </c>
    </row>
    <row r="36">
      <c r="A36" t="inlineStr">
        <is>
          <t>Dining</t>
        </is>
      </c>
      <c r="B36">
        <f>SUMIF(C2:C33, "Dining", D2:D33)</f>
        <v/>
      </c>
    </row>
    <row r="37">
      <c r="A37" t="inlineStr">
        <is>
          <t>Entertainment</t>
        </is>
      </c>
      <c r="B37">
        <f>SUMIF(C2:C33, "Entertainment", D2:D33)</f>
        <v/>
      </c>
    </row>
    <row r="38">
      <c r="A38" t="inlineStr">
        <is>
          <t>Groceries</t>
        </is>
      </c>
      <c r="B38">
        <f>SUMIF(C2:C33, "Groceries", D2:D33)</f>
        <v/>
      </c>
    </row>
    <row r="39">
      <c r="A39" t="inlineStr">
        <is>
          <t>Healthcare</t>
        </is>
      </c>
      <c r="B39">
        <f>SUMIF(C2:C33, "Healthcare", D2:D33)</f>
        <v/>
      </c>
    </row>
    <row r="40">
      <c r="A40" t="inlineStr">
        <is>
          <t>Office Supplies</t>
        </is>
      </c>
      <c r="B40">
        <f>SUMIF(C2:C33, "Office Supplies", D2:D33)</f>
        <v/>
      </c>
    </row>
    <row r="41">
      <c r="A41" t="inlineStr">
        <is>
          <t>Rent</t>
        </is>
      </c>
      <c r="B41">
        <f>SUMIF(C2:C33, "Rent", D2:D33)</f>
        <v/>
      </c>
    </row>
    <row r="42">
      <c r="A42" t="inlineStr">
        <is>
          <t>Subscriptions</t>
        </is>
      </c>
      <c r="B42">
        <f>SUMIF(C2:C33, "Subscriptions", D2:D33)</f>
        <v/>
      </c>
    </row>
    <row r="43">
      <c r="A43" t="inlineStr">
        <is>
          <t>Transport</t>
        </is>
      </c>
      <c r="B43">
        <f>SUMIF(C2:C33, "Transport", D2:D33)</f>
        <v/>
      </c>
    </row>
    <row r="44">
      <c r="A44" t="inlineStr">
        <is>
          <t>Travel</t>
        </is>
      </c>
      <c r="B44">
        <f>SUMIF(C2:C33, "Travel", D2:D33)</f>
        <v/>
      </c>
    </row>
    <row r="45">
      <c r="A45" t="inlineStr">
        <is>
          <t>Utilities</t>
        </is>
      </c>
      <c r="B45">
        <f>SUMIF(C2:C33, "Utilities", D2:D33)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7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2026-08-01</t>
        </is>
      </c>
      <c r="B2" t="inlineStr">
        <is>
          <t>Supermart - weekly groceries</t>
        </is>
      </c>
      <c r="C2" t="inlineStr">
        <is>
          <t>Groceries</t>
        </is>
      </c>
      <c r="D2" t="n">
        <v>192000</v>
      </c>
    </row>
    <row r="3">
      <c r="A3" t="inlineStr">
        <is>
          <t>2026-08-02</t>
        </is>
      </c>
      <c r="B3" t="inlineStr">
        <is>
          <t>City Bus Ticket</t>
        </is>
      </c>
      <c r="C3" t="inlineStr">
        <is>
          <t>Transport</t>
        </is>
      </c>
      <c r="D3" t="n">
        <v>12000</v>
      </c>
    </row>
    <row r="4">
      <c r="A4" t="inlineStr">
        <is>
          <t>2026-08-03</t>
        </is>
      </c>
      <c r="B4" t="inlineStr">
        <is>
          <t>Electricity Bill</t>
        </is>
      </c>
      <c r="C4" t="inlineStr">
        <is>
          <t>Utilities</t>
        </is>
      </c>
      <c r="D4" t="n">
        <v>470000</v>
      </c>
    </row>
    <row r="5">
      <c r="A5" t="inlineStr">
        <is>
          <t>2026-08-04</t>
        </is>
      </c>
      <c r="B5" t="inlineStr">
        <is>
          <t>Streaming Service Subscription</t>
        </is>
      </c>
      <c r="C5" t="inlineStr">
        <is>
          <t>Subscriptions</t>
        </is>
      </c>
      <c r="D5" t="n">
        <v>99000</v>
      </c>
    </row>
    <row r="6">
      <c r="A6" t="inlineStr">
        <is>
          <t>2026-08-05</t>
        </is>
      </c>
      <c r="B6" t="inlineStr">
        <is>
          <t>Cafe brunch</t>
        </is>
      </c>
      <c r="C6" t="inlineStr">
        <is>
          <t>Dining</t>
        </is>
      </c>
      <c r="D6" t="n">
        <v>125000</v>
      </c>
    </row>
    <row r="7">
      <c r="A7" t="inlineStr">
        <is>
          <t>2026-08-06</t>
        </is>
      </c>
      <c r="B7" t="inlineStr">
        <is>
          <t>Office Notebooks</t>
        </is>
      </c>
      <c r="C7" t="inlineStr">
        <is>
          <t>Office Supplies</t>
        </is>
      </c>
      <c r="D7" t="n">
        <v>64000</v>
      </c>
    </row>
    <row r="8">
      <c r="A8" t="inlineStr">
        <is>
          <t>2026-08-07</t>
        </is>
      </c>
      <c r="B8" t="inlineStr">
        <is>
          <t>Taxi to client meeting</t>
        </is>
      </c>
      <c r="C8" t="inlineStr">
        <is>
          <t>Transport</t>
        </is>
      </c>
      <c r="D8" t="n">
        <v>82000</v>
      </c>
    </row>
    <row r="9">
      <c r="A9" t="inlineStr">
        <is>
          <t>2026-08-08</t>
        </is>
      </c>
      <c r="B9" t="inlineStr">
        <is>
          <t>Hotel - conference</t>
        </is>
      </c>
      <c r="C9" t="inlineStr">
        <is>
          <t>Travel</t>
        </is>
      </c>
      <c r="D9" t="n">
        <v>1450000</v>
      </c>
    </row>
    <row r="10">
      <c r="A10" t="inlineStr">
        <is>
          <t>2026-08-09</t>
        </is>
      </c>
      <c r="B10" t="inlineStr">
        <is>
          <t>Clinic lab test</t>
        </is>
      </c>
      <c r="C10" t="inlineStr">
        <is>
          <t>Healthcare</t>
        </is>
      </c>
      <c r="D10" t="n">
        <v>300000</v>
      </c>
    </row>
    <row r="11">
      <c r="A11" t="inlineStr">
        <is>
          <t>2026-08-10</t>
        </is>
      </c>
      <c r="B11" t="inlineStr">
        <is>
          <t>Monthly Rent</t>
        </is>
      </c>
      <c r="C11" t="inlineStr">
        <is>
          <t>Rent</t>
        </is>
      </c>
      <c r="D11" t="n">
        <v>3000000</v>
      </c>
    </row>
    <row r="12">
      <c r="A12" t="inlineStr">
        <is>
          <t>2026-08-11</t>
        </is>
      </c>
      <c r="B12" t="inlineStr">
        <is>
          <t>Cornerstore - snacks</t>
        </is>
      </c>
      <c r="C12" t="inlineStr">
        <is>
          <t>Groceries</t>
        </is>
      </c>
      <c r="D12" t="n">
        <v>52000</v>
      </c>
    </row>
    <row r="13">
      <c r="A13" t="inlineStr">
        <is>
          <t>2026-08-12</t>
        </is>
      </c>
      <c r="B13" t="inlineStr">
        <is>
          <t>Intercity Train</t>
        </is>
      </c>
      <c r="C13" t="inlineStr">
        <is>
          <t>Travel</t>
        </is>
      </c>
      <c r="D13" t="n">
        <v>210000</v>
      </c>
    </row>
    <row r="14">
      <c r="A14" t="inlineStr">
        <is>
          <t>2026-08-13</t>
        </is>
      </c>
      <c r="B14" t="inlineStr">
        <is>
          <t>Printer ink</t>
        </is>
      </c>
      <c r="C14" t="inlineStr">
        <is>
          <t>Office Supplies</t>
        </is>
      </c>
      <c r="D14" t="n">
        <v>350000</v>
      </c>
    </row>
    <row r="15">
      <c r="A15" t="inlineStr">
        <is>
          <t>2026-08-14</t>
        </is>
      </c>
      <c r="B15" t="inlineStr">
        <is>
          <t>Friends dinner</t>
        </is>
      </c>
      <c r="C15" t="inlineStr">
        <is>
          <t>Dining</t>
        </is>
      </c>
      <c r="D15" t="n">
        <v>250000</v>
      </c>
    </row>
    <row r="16">
      <c r="A16" t="inlineStr">
        <is>
          <t>2026-08-15</t>
        </is>
      </c>
      <c r="B16" t="inlineStr">
        <is>
          <t>Pharmacy - first aid</t>
        </is>
      </c>
      <c r="C16" t="inlineStr">
        <is>
          <t>Healthcare</t>
        </is>
      </c>
      <c r="D16" t="n">
        <v>98000</v>
      </c>
    </row>
    <row r="17">
      <c r="A17" t="inlineStr">
        <is>
          <t>2026-08-16</t>
        </is>
      </c>
      <c r="B17" t="inlineStr">
        <is>
          <t>Taxi home</t>
        </is>
      </c>
      <c r="C17" t="inlineStr">
        <is>
          <t>Transport</t>
        </is>
      </c>
      <c r="D17" t="n">
        <v>65000</v>
      </c>
    </row>
    <row r="18">
      <c r="A18" t="inlineStr">
        <is>
          <t>2026-08-17</t>
        </is>
      </c>
      <c r="B18" t="inlineStr">
        <is>
          <t>Utilities - Water</t>
        </is>
      </c>
      <c r="C18" t="inlineStr">
        <is>
          <t>Utilities</t>
        </is>
      </c>
      <c r="D18" t="n">
        <v>80000</v>
      </c>
    </row>
    <row r="19">
      <c r="A19" t="inlineStr">
        <is>
          <t>2026-08-18</t>
        </is>
      </c>
      <c r="B19" t="inlineStr">
        <is>
          <t>Live show tickets</t>
        </is>
      </c>
      <c r="C19" t="inlineStr">
        <is>
          <t>Entertainment</t>
        </is>
      </c>
      <c r="D19" t="n">
        <v>290000</v>
      </c>
    </row>
    <row r="20">
      <c r="A20" t="inlineStr">
        <is>
          <t>2026-08-19</t>
        </is>
      </c>
      <c r="B20" t="inlineStr">
        <is>
          <t>Supermart - fruits</t>
        </is>
      </c>
      <c r="C20" t="inlineStr">
        <is>
          <t>Groceries</t>
        </is>
      </c>
      <c r="D20" t="n">
        <v>88000</v>
      </c>
    </row>
    <row r="21">
      <c r="A21" t="inlineStr">
        <is>
          <t>2026-08-20</t>
        </is>
      </c>
      <c r="B21" t="inlineStr">
        <is>
          <t>Co-working day pass</t>
        </is>
      </c>
      <c r="C21" t="inlineStr">
        <is>
          <t>Office Supplies</t>
        </is>
      </c>
      <c r="D21" t="n">
        <v>150000</v>
      </c>
    </row>
    <row r="22">
      <c r="A22" t="inlineStr">
        <is>
          <t>2026-08-21</t>
        </is>
      </c>
      <c r="B22" t="inlineStr">
        <is>
          <t>Coffee meeting</t>
        </is>
      </c>
      <c r="C22" t="inlineStr">
        <is>
          <t>Dining</t>
        </is>
      </c>
      <c r="D22" t="n">
        <v>72000</v>
      </c>
    </row>
    <row r="23">
      <c r="A23" t="inlineStr">
        <is>
          <t>2026-08-22</t>
        </is>
      </c>
      <c r="B23" t="inlineStr">
        <is>
          <t>Airport shuttle</t>
        </is>
      </c>
      <c r="C23" t="inlineStr">
        <is>
          <t>Travel</t>
        </is>
      </c>
      <c r="D23" t="n">
        <v>115000</v>
      </c>
    </row>
    <row r="24">
      <c r="A24" t="inlineStr">
        <is>
          <t>2026-08-23</t>
        </is>
      </c>
      <c r="B24" t="inlineStr">
        <is>
          <t>Gym membership</t>
        </is>
      </c>
      <c r="C24" t="inlineStr">
        <is>
          <t>Subscriptions</t>
        </is>
      </c>
      <c r="D24" t="n">
        <v>250000</v>
      </c>
    </row>
    <row r="25">
      <c r="A25" t="inlineStr">
        <is>
          <t>2026-08-24</t>
        </is>
      </c>
      <c r="B25" t="inlineStr">
        <is>
          <t>Bus card top-up</t>
        </is>
      </c>
      <c r="C25" t="inlineStr">
        <is>
          <t>Transport</t>
        </is>
      </c>
      <c r="D25" t="n">
        <v>100000</v>
      </c>
    </row>
    <row r="26">
      <c r="A26" t="inlineStr">
        <is>
          <t>2026-08-25</t>
        </is>
      </c>
      <c r="B26" t="inlineStr">
        <is>
          <t>Utilities - Internet</t>
        </is>
      </c>
      <c r="C26" t="inlineStr">
        <is>
          <t>Utilities</t>
        </is>
      </c>
      <c r="D26" t="n">
        <v>300000</v>
      </c>
    </row>
    <row r="27">
      <c r="A27" t="inlineStr">
        <is>
          <t>2026-08-26</t>
        </is>
      </c>
      <c r="B27" t="inlineStr">
        <is>
          <t>Picnic supplies</t>
        </is>
      </c>
      <c r="C27" t="inlineStr">
        <is>
          <t>Entertainment</t>
        </is>
      </c>
      <c r="D27" t="n">
        <v>95000</v>
      </c>
    </row>
    <row r="28">
      <c r="A28" t="inlineStr">
        <is>
          <t>2026-08-27</t>
        </is>
      </c>
      <c r="B28" t="inlineStr">
        <is>
          <t>Supermart - staples</t>
        </is>
      </c>
      <c r="C28" t="inlineStr">
        <is>
          <t>Groceries</t>
        </is>
      </c>
      <c r="D28" t="n">
        <v>205000</v>
      </c>
    </row>
    <row r="29">
      <c r="A29" t="inlineStr">
        <is>
          <t>2026-08-28</t>
        </is>
      </c>
      <c r="B29" t="inlineStr">
        <is>
          <t>Office chair accessories</t>
        </is>
      </c>
      <c r="C29" t="inlineStr">
        <is>
          <t>Office Supplies</t>
        </is>
      </c>
      <c r="D29" t="n">
        <v>88000</v>
      </c>
    </row>
    <row r="30">
      <c r="A30" t="inlineStr">
        <is>
          <t>2026-08-29</t>
        </is>
      </c>
      <c r="B30" t="inlineStr">
        <is>
          <t>Taxi - evening</t>
        </is>
      </c>
      <c r="C30" t="inlineStr">
        <is>
          <t>Transport</t>
        </is>
      </c>
      <c r="D30" t="n">
        <v>86000</v>
      </c>
    </row>
    <row r="31">
      <c r="A31" t="inlineStr">
        <is>
          <t>2026-08-30</t>
        </is>
      </c>
      <c r="B31" t="inlineStr">
        <is>
          <t>Medicines and vitamins</t>
        </is>
      </c>
      <c r="C31" t="inlineStr">
        <is>
          <t>Healthcare</t>
        </is>
      </c>
      <c r="D31" t="n">
        <v>99000</v>
      </c>
    </row>
    <row r="32">
      <c r="A32" t="inlineStr">
        <is>
          <t>2026-08-31</t>
        </is>
      </c>
      <c r="B32" t="inlineStr">
        <is>
          <t>Online Newspaper Subscription</t>
        </is>
      </c>
      <c r="C32" t="inlineStr">
        <is>
          <t>Subscriptions</t>
        </is>
      </c>
      <c r="D32" t="n">
        <v>60000</v>
      </c>
    </row>
    <row r="33"/>
    <row r="34">
      <c r="A34" s="1" t="inlineStr">
        <is>
          <t>Category</t>
        </is>
      </c>
      <c r="B34" s="1" t="inlineStr">
        <is>
          <t>Subtotal</t>
        </is>
      </c>
    </row>
    <row r="35">
      <c r="A35" t="inlineStr">
        <is>
          <t>Dining</t>
        </is>
      </c>
      <c r="B35">
        <f>SUMIF(C2:C32, "Dining", D2:D32)</f>
        <v/>
      </c>
    </row>
    <row r="36">
      <c r="A36" t="inlineStr">
        <is>
          <t>Entertainment</t>
        </is>
      </c>
      <c r="B36">
        <f>SUMIF(C2:C32, "Entertainment", D2:D32)</f>
        <v/>
      </c>
    </row>
    <row r="37">
      <c r="A37" t="inlineStr">
        <is>
          <t>Groceries</t>
        </is>
      </c>
      <c r="B37">
        <f>SUMIF(C2:C32, "Groceries", D2:D32)</f>
        <v/>
      </c>
    </row>
    <row r="38">
      <c r="A38" t="inlineStr">
        <is>
          <t>Healthcare</t>
        </is>
      </c>
      <c r="B38">
        <f>SUMIF(C2:C32, "Healthcare", D2:D32)</f>
        <v/>
      </c>
    </row>
    <row r="39">
      <c r="A39" t="inlineStr">
        <is>
          <t>Office Supplies</t>
        </is>
      </c>
      <c r="B39">
        <f>SUMIF(C2:C32, "Office Supplies", D2:D32)</f>
        <v/>
      </c>
    </row>
    <row r="40">
      <c r="A40" t="inlineStr">
        <is>
          <t>Rent</t>
        </is>
      </c>
      <c r="B40">
        <f>SUMIF(C2:C32, "Rent", D2:D32)</f>
        <v/>
      </c>
    </row>
    <row r="41">
      <c r="A41" t="inlineStr">
        <is>
          <t>Subscriptions</t>
        </is>
      </c>
      <c r="B41">
        <f>SUMIF(C2:C32, "Subscriptions", D2:D32)</f>
        <v/>
      </c>
    </row>
    <row r="42">
      <c r="A42" t="inlineStr">
        <is>
          <t>Transport</t>
        </is>
      </c>
      <c r="B42">
        <f>SUMIF(C2:C32, "Transport", D2:D32)</f>
        <v/>
      </c>
    </row>
    <row r="43">
      <c r="A43" t="inlineStr">
        <is>
          <t>Travel</t>
        </is>
      </c>
      <c r="B43">
        <f>SUMIF(C2:C32, "Travel", D2:D32)</f>
        <v/>
      </c>
    </row>
    <row r="44">
      <c r="A44" t="inlineStr">
        <is>
          <t>Utilities</t>
        </is>
      </c>
      <c r="B44">
        <f>SUMIF(C2:C32, "Utilities", D2:D32)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7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2026-09-01</t>
        </is>
      </c>
      <c r="B2" t="inlineStr">
        <is>
          <t>Supermart - weekly groceries</t>
        </is>
      </c>
      <c r="C2" t="inlineStr">
        <is>
          <t>Groceries</t>
        </is>
      </c>
      <c r="D2" t="n">
        <v>188000</v>
      </c>
    </row>
    <row r="3">
      <c r="A3" t="inlineStr">
        <is>
          <t>2026-09-02</t>
        </is>
      </c>
      <c r="B3" t="inlineStr">
        <is>
          <t>City Bus Ticket</t>
        </is>
      </c>
      <c r="C3" t="inlineStr">
        <is>
          <t>Transport</t>
        </is>
      </c>
      <c r="D3" t="n">
        <v>12000</v>
      </c>
    </row>
    <row r="4">
      <c r="A4" t="inlineStr">
        <is>
          <t>2026-09-03</t>
        </is>
      </c>
      <c r="B4" t="inlineStr">
        <is>
          <t>Electricity Bill</t>
        </is>
      </c>
      <c r="C4" t="inlineStr">
        <is>
          <t>Utilities</t>
        </is>
      </c>
      <c r="D4" t="n">
        <v>460000</v>
      </c>
    </row>
    <row r="5">
      <c r="A5" t="inlineStr">
        <is>
          <t>2026-09-04</t>
        </is>
      </c>
      <c r="B5" t="inlineStr">
        <is>
          <t>Movie night</t>
        </is>
      </c>
      <c r="C5" t="inlineStr">
        <is>
          <t>Entertainment</t>
        </is>
      </c>
      <c r="D5" t="n">
        <v>92000</v>
      </c>
    </row>
    <row r="6">
      <c r="A6" t="inlineStr">
        <is>
          <t>2026-09-05</t>
        </is>
      </c>
      <c r="B6" t="inlineStr">
        <is>
          <t>Cafe lunch</t>
        </is>
      </c>
      <c r="C6" t="inlineStr">
        <is>
          <t>Dining</t>
        </is>
      </c>
      <c r="D6" t="n">
        <v>98000</v>
      </c>
    </row>
    <row r="7">
      <c r="A7" t="inlineStr">
        <is>
          <t>2026-09-06</t>
        </is>
      </c>
      <c r="B7" t="inlineStr">
        <is>
          <t>Office Paper Clips</t>
        </is>
      </c>
      <c r="C7" t="inlineStr">
        <is>
          <t>Office Supplies</t>
        </is>
      </c>
      <c r="D7" t="n">
        <v>12000</v>
      </c>
    </row>
    <row r="8">
      <c r="A8" t="inlineStr">
        <is>
          <t>2026-09-07</t>
        </is>
      </c>
      <c r="B8" t="inlineStr">
        <is>
          <t>Taxi to airport</t>
        </is>
      </c>
      <c r="C8" t="inlineStr">
        <is>
          <t>Transport</t>
        </is>
      </c>
      <c r="D8" t="n">
        <v>88000</v>
      </c>
    </row>
    <row r="9">
      <c r="A9" t="inlineStr">
        <is>
          <t>2026-09-08</t>
        </is>
      </c>
      <c r="B9" t="inlineStr">
        <is>
          <t>Hotel - short stay</t>
        </is>
      </c>
      <c r="C9" t="inlineStr">
        <is>
          <t>Travel</t>
        </is>
      </c>
      <c r="D9" t="n">
        <v>980000</v>
      </c>
    </row>
    <row r="10">
      <c r="A10" t="inlineStr">
        <is>
          <t>2026-09-09</t>
        </is>
      </c>
      <c r="B10" t="inlineStr">
        <is>
          <t>Clinic consultation</t>
        </is>
      </c>
      <c r="C10" t="inlineStr">
        <is>
          <t>Healthcare</t>
        </is>
      </c>
      <c r="D10" t="n">
        <v>210000</v>
      </c>
    </row>
    <row r="11">
      <c r="A11" t="inlineStr">
        <is>
          <t>2026-09-10</t>
        </is>
      </c>
      <c r="B11" t="inlineStr">
        <is>
          <t>Monthly Rent</t>
        </is>
      </c>
      <c r="C11" t="inlineStr">
        <is>
          <t>Rent</t>
        </is>
      </c>
      <c r="D11" t="n">
        <v>3000000</v>
      </c>
    </row>
    <row r="12">
      <c r="A12" t="inlineStr">
        <is>
          <t>2026-09-11</t>
        </is>
      </c>
      <c r="B12" t="inlineStr">
        <is>
          <t>Cornerstore - snacks</t>
        </is>
      </c>
      <c r="C12" t="inlineStr">
        <is>
          <t>Groceries</t>
        </is>
      </c>
      <c r="D12" t="n">
        <v>48000</v>
      </c>
    </row>
    <row r="13">
      <c r="A13" t="inlineStr">
        <is>
          <t>2026-09-12</t>
        </is>
      </c>
      <c r="B13" t="inlineStr">
        <is>
          <t>Intercity Train</t>
        </is>
      </c>
      <c r="C13" t="inlineStr">
        <is>
          <t>Travel</t>
        </is>
      </c>
      <c r="D13" t="n">
        <v>220000</v>
      </c>
    </row>
    <row r="14">
      <c r="A14" t="inlineStr">
        <is>
          <t>2026-09-13</t>
        </is>
      </c>
      <c r="B14" t="inlineStr">
        <is>
          <t>Desk organizer</t>
        </is>
      </c>
      <c r="C14" t="inlineStr">
        <is>
          <t>Office Supplies</t>
        </is>
      </c>
      <c r="D14" t="n">
        <v>54000</v>
      </c>
    </row>
    <row r="15">
      <c r="A15" t="inlineStr">
        <is>
          <t>2026-09-14</t>
        </is>
      </c>
      <c r="B15" t="inlineStr">
        <is>
          <t>Friends dinner</t>
        </is>
      </c>
      <c r="C15" t="inlineStr">
        <is>
          <t>Dining</t>
        </is>
      </c>
      <c r="D15" t="n">
        <v>230000</v>
      </c>
    </row>
    <row r="16">
      <c r="A16" t="inlineStr">
        <is>
          <t>2026-09-15</t>
        </is>
      </c>
      <c r="B16" t="inlineStr">
        <is>
          <t>Pharmacy - medicine</t>
        </is>
      </c>
      <c r="C16" t="inlineStr">
        <is>
          <t>Healthcare</t>
        </is>
      </c>
      <c r="D16" t="n">
        <v>110000</v>
      </c>
    </row>
    <row r="17">
      <c r="A17" t="inlineStr">
        <is>
          <t>2026-09-16</t>
        </is>
      </c>
      <c r="B17" t="inlineStr">
        <is>
          <t>Taxi home</t>
        </is>
      </c>
      <c r="C17" t="inlineStr">
        <is>
          <t>Transport</t>
        </is>
      </c>
      <c r="D17" t="n">
        <v>64000</v>
      </c>
    </row>
    <row r="18">
      <c r="A18" t="inlineStr">
        <is>
          <t>2026-09-17</t>
        </is>
      </c>
      <c r="B18" t="inlineStr">
        <is>
          <t>Utilities - Water</t>
        </is>
      </c>
      <c r="C18" t="inlineStr">
        <is>
          <t>Utilities</t>
        </is>
      </c>
      <c r="D18" t="n">
        <v>77000</v>
      </c>
    </row>
    <row r="19">
      <c r="A19" t="inlineStr">
        <is>
          <t>2026-09-18</t>
        </is>
      </c>
      <c r="B19" t="inlineStr">
        <is>
          <t>Theater play</t>
        </is>
      </c>
      <c r="C19" t="inlineStr">
        <is>
          <t>Entertainment</t>
        </is>
      </c>
      <c r="D19" t="n">
        <v>260000</v>
      </c>
    </row>
    <row r="20">
      <c r="A20" t="inlineStr">
        <is>
          <t>2026-09-19</t>
        </is>
      </c>
      <c r="B20" t="inlineStr">
        <is>
          <t>Supermart - fruits</t>
        </is>
      </c>
      <c r="C20" t="inlineStr">
        <is>
          <t>Groceries</t>
        </is>
      </c>
      <c r="D20" t="n">
        <v>93000</v>
      </c>
    </row>
    <row r="21">
      <c r="A21" t="inlineStr">
        <is>
          <t>2026-09-20</t>
        </is>
      </c>
      <c r="B21" t="inlineStr">
        <is>
          <t>Co-working day pass</t>
        </is>
      </c>
      <c r="C21" t="inlineStr">
        <is>
          <t>Office Supplies</t>
        </is>
      </c>
      <c r="D21" t="n">
        <v>150000</v>
      </c>
    </row>
    <row r="22">
      <c r="A22" t="inlineStr">
        <is>
          <t>2026-09-21</t>
        </is>
      </c>
      <c r="B22" t="inlineStr">
        <is>
          <t>Coffee meeting</t>
        </is>
      </c>
      <c r="C22" t="inlineStr">
        <is>
          <t>Dining</t>
        </is>
      </c>
      <c r="D22" t="n">
        <v>69000</v>
      </c>
    </row>
    <row r="23">
      <c r="A23" t="inlineStr">
        <is>
          <t>2026-09-22</t>
        </is>
      </c>
      <c r="B23" t="inlineStr">
        <is>
          <t>Airport parking</t>
        </is>
      </c>
      <c r="C23" t="inlineStr">
        <is>
          <t>Travel</t>
        </is>
      </c>
      <c r="D23" t="n">
        <v>102000</v>
      </c>
    </row>
    <row r="24">
      <c r="A24" t="inlineStr">
        <is>
          <t>2026-09-23</t>
        </is>
      </c>
      <c r="B24" t="inlineStr">
        <is>
          <t>Gym membership</t>
        </is>
      </c>
      <c r="C24" t="inlineStr">
        <is>
          <t>Subscriptions</t>
        </is>
      </c>
      <c r="D24" t="n">
        <v>250000</v>
      </c>
    </row>
    <row r="25">
      <c r="A25" t="inlineStr">
        <is>
          <t>2026-09-24</t>
        </is>
      </c>
      <c r="B25" t="inlineStr">
        <is>
          <t>Bus card top-up</t>
        </is>
      </c>
      <c r="C25" t="inlineStr">
        <is>
          <t>Transport</t>
        </is>
      </c>
      <c r="D25" t="n">
        <v>100000</v>
      </c>
    </row>
    <row r="26">
      <c r="A26" t="inlineStr">
        <is>
          <t>2026-09-25</t>
        </is>
      </c>
      <c r="B26" t="inlineStr">
        <is>
          <t>Utilities - Internet</t>
        </is>
      </c>
      <c r="C26" t="inlineStr">
        <is>
          <t>Utilities</t>
        </is>
      </c>
      <c r="D26" t="n">
        <v>300000</v>
      </c>
    </row>
    <row r="27">
      <c r="A27" t="inlineStr">
        <is>
          <t>2026-09-26</t>
        </is>
      </c>
      <c r="B27" t="inlineStr">
        <is>
          <t>Park picnic</t>
        </is>
      </c>
      <c r="C27" t="inlineStr">
        <is>
          <t>Entertainment</t>
        </is>
      </c>
      <c r="D27" t="n">
        <v>76000</v>
      </c>
    </row>
    <row r="28">
      <c r="A28" t="inlineStr">
        <is>
          <t>2026-09-27</t>
        </is>
      </c>
      <c r="B28" t="inlineStr">
        <is>
          <t>Supermart - staples</t>
        </is>
      </c>
      <c r="C28" t="inlineStr">
        <is>
          <t>Groceries</t>
        </is>
      </c>
      <c r="D28" t="n">
        <v>208000</v>
      </c>
    </row>
    <row r="29">
      <c r="A29" t="inlineStr">
        <is>
          <t>2026-09-28</t>
        </is>
      </c>
      <c r="B29" t="inlineStr">
        <is>
          <t>Sticky notes</t>
        </is>
      </c>
      <c r="C29" t="inlineStr">
        <is>
          <t>Office Supplies</t>
        </is>
      </c>
      <c r="D29" t="n">
        <v>35000</v>
      </c>
    </row>
    <row r="30">
      <c r="A30" t="inlineStr">
        <is>
          <t>2026-09-29</t>
        </is>
      </c>
      <c r="B30" t="inlineStr">
        <is>
          <t>Taxi - late night</t>
        </is>
      </c>
      <c r="C30" t="inlineStr">
        <is>
          <t>Transport</t>
        </is>
      </c>
      <c r="D30" t="n">
        <v>90000</v>
      </c>
    </row>
    <row r="31">
      <c r="A31" t="inlineStr">
        <is>
          <t>2026-09-30</t>
        </is>
      </c>
      <c r="B31" t="inlineStr">
        <is>
          <t>Medicines and vitamins</t>
        </is>
      </c>
      <c r="C31" t="inlineStr">
        <is>
          <t>Healthcare</t>
        </is>
      </c>
      <c r="D31" t="n">
        <v>105000</v>
      </c>
    </row>
    <row r="32"/>
    <row r="33">
      <c r="A33" s="1" t="inlineStr">
        <is>
          <t>Category</t>
        </is>
      </c>
      <c r="B33" s="1" t="inlineStr">
        <is>
          <t>Subtotal</t>
        </is>
      </c>
    </row>
    <row r="34">
      <c r="A34" t="inlineStr">
        <is>
          <t>Dining</t>
        </is>
      </c>
      <c r="B34">
        <f>SUMIF(C2:C31, "Dining", D2:D31)</f>
        <v/>
      </c>
    </row>
    <row r="35">
      <c r="A35" t="inlineStr">
        <is>
          <t>Entertainment</t>
        </is>
      </c>
      <c r="B35">
        <f>SUMIF(C2:C31, "Entertainment", D2:D31)</f>
        <v/>
      </c>
    </row>
    <row r="36">
      <c r="A36" t="inlineStr">
        <is>
          <t>Groceries</t>
        </is>
      </c>
      <c r="B36">
        <f>SUMIF(C2:C31, "Groceries", D2:D31)</f>
        <v/>
      </c>
    </row>
    <row r="37">
      <c r="A37" t="inlineStr">
        <is>
          <t>Healthcare</t>
        </is>
      </c>
      <c r="B37">
        <f>SUMIF(C2:C31, "Healthcare", D2:D31)</f>
        <v/>
      </c>
    </row>
    <row r="38">
      <c r="A38" t="inlineStr">
        <is>
          <t>Office Supplies</t>
        </is>
      </c>
      <c r="B38">
        <f>SUMIF(C2:C31, "Office Supplies", D2:D31)</f>
        <v/>
      </c>
    </row>
    <row r="39">
      <c r="A39" t="inlineStr">
        <is>
          <t>Rent</t>
        </is>
      </c>
      <c r="B39">
        <f>SUMIF(C2:C31, "Rent", D2:D31)</f>
        <v/>
      </c>
    </row>
    <row r="40">
      <c r="A40" t="inlineStr">
        <is>
          <t>Subscriptions</t>
        </is>
      </c>
      <c r="B40">
        <f>SUMIF(C2:C31, "Subscriptions", D2:D31)</f>
        <v/>
      </c>
    </row>
    <row r="41">
      <c r="A41" t="inlineStr">
        <is>
          <t>Transport</t>
        </is>
      </c>
      <c r="B41">
        <f>SUMIF(C2:C31, "Transport", D2:D31)</f>
        <v/>
      </c>
    </row>
    <row r="42">
      <c r="A42" t="inlineStr">
        <is>
          <t>Travel</t>
        </is>
      </c>
      <c r="B42">
        <f>SUMIF(C2:C31, "Travel", D2:D31)</f>
        <v/>
      </c>
    </row>
    <row r="43">
      <c r="A43" t="inlineStr">
        <is>
          <t>Utilities</t>
        </is>
      </c>
      <c r="B43">
        <f>SUMIF(C2:C31, "Utilities", D2:D31)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Month</t>
        </is>
      </c>
      <c r="B1" s="1" t="inlineStr">
        <is>
          <t>Total Amount</t>
        </is>
      </c>
      <c r="C1" s="1" t="inlineStr">
        <is>
          <t>Number of Transactions</t>
        </is>
      </c>
    </row>
    <row r="2">
      <c r="A2" t="inlineStr">
        <is>
          <t>2026-07</t>
        </is>
      </c>
      <c r="B2">
        <f>SUM('2026-07'!D2:D1000)</f>
        <v/>
      </c>
      <c r="C2">
        <f>COUNTA('2026-07'!D2:D1000)</f>
        <v/>
      </c>
    </row>
    <row r="3">
      <c r="A3" t="inlineStr">
        <is>
          <t>2026-08</t>
        </is>
      </c>
      <c r="B3">
        <f>SUM('2026-08'!D2:D1000)</f>
        <v/>
      </c>
      <c r="C3">
        <f>COUNTA('2026-08'!D2:D1000)</f>
        <v/>
      </c>
    </row>
    <row r="4">
      <c r="A4" t="inlineStr">
        <is>
          <t>2026-09</t>
        </is>
      </c>
      <c r="B4">
        <f>SUM('2026-09'!D2:D1000)</f>
        <v/>
      </c>
      <c r="C4">
        <f>COUNTA('2026-09'!D2:D1000)</f>
        <v/>
      </c>
    </row>
    <row r="5"/>
    <row r="6"/>
    <row r="7">
      <c r="A7" s="1" t="inlineStr">
        <is>
          <t>Category</t>
        </is>
      </c>
      <c r="B7" s="1" t="inlineStr">
        <is>
          <t>2026-07</t>
        </is>
      </c>
      <c r="C7" s="1" t="inlineStr">
        <is>
          <t>2026-08</t>
        </is>
      </c>
      <c r="D7" s="1" t="inlineStr">
        <is>
          <t>2026-09</t>
        </is>
      </c>
    </row>
    <row r="8">
      <c r="A8" t="inlineStr">
        <is>
          <t>Dining</t>
        </is>
      </c>
      <c r="B8">
        <f>SUMIF('2026-07'!C2:C1000, "Dining", '2026-07'!D2:D1000)</f>
        <v/>
      </c>
      <c r="C8">
        <f>SUMIF('2026-08'!C2:C1000, "Dining", '2026-08'!D2:D1000)</f>
        <v/>
      </c>
      <c r="D8">
        <f>SUMIF('2026-09'!C2:C1000, "Dining", '2026-09'!D2:D1000)</f>
        <v/>
      </c>
    </row>
    <row r="9">
      <c r="A9" t="inlineStr">
        <is>
          <t>Entertainment</t>
        </is>
      </c>
      <c r="B9">
        <f>SUMIF('2026-07'!C2:C1000, "Entertainment", '2026-07'!D2:D1000)</f>
        <v/>
      </c>
      <c r="C9">
        <f>SUMIF('2026-08'!C2:C1000, "Entertainment", '2026-08'!D2:D1000)</f>
        <v/>
      </c>
      <c r="D9">
        <f>SUMIF('2026-09'!C2:C1000, "Entertainment", '2026-09'!D2:D1000)</f>
        <v/>
      </c>
    </row>
    <row r="10">
      <c r="A10" t="inlineStr">
        <is>
          <t>Groceries</t>
        </is>
      </c>
      <c r="B10">
        <f>SUMIF('2026-07'!C2:C1000, "Groceries", '2026-07'!D2:D1000)</f>
        <v/>
      </c>
      <c r="C10">
        <f>SUMIF('2026-08'!C2:C1000, "Groceries", '2026-08'!D2:D1000)</f>
        <v/>
      </c>
      <c r="D10">
        <f>SUMIF('2026-09'!C2:C1000, "Groceries", '2026-09'!D2:D1000)</f>
        <v/>
      </c>
    </row>
    <row r="11">
      <c r="A11" t="inlineStr">
        <is>
          <t>Healthcare</t>
        </is>
      </c>
      <c r="B11">
        <f>SUMIF('2026-07'!C2:C1000, "Healthcare", '2026-07'!D2:D1000)</f>
        <v/>
      </c>
      <c r="C11">
        <f>SUMIF('2026-08'!C2:C1000, "Healthcare", '2026-08'!D2:D1000)</f>
        <v/>
      </c>
      <c r="D11">
        <f>SUMIF('2026-09'!C2:C1000, "Healthcare", '2026-09'!D2:D1000)</f>
        <v/>
      </c>
    </row>
    <row r="12">
      <c r="A12" t="inlineStr">
        <is>
          <t>Office Supplies</t>
        </is>
      </c>
      <c r="B12">
        <f>SUMIF('2026-07'!C2:C1000, "Office Supplies", '2026-07'!D2:D1000)</f>
        <v/>
      </c>
      <c r="C12">
        <f>SUMIF('2026-08'!C2:C1000, "Office Supplies", '2026-08'!D2:D1000)</f>
        <v/>
      </c>
      <c r="D12">
        <f>SUMIF('2026-09'!C2:C1000, "Office Supplies", '2026-09'!D2:D1000)</f>
        <v/>
      </c>
    </row>
    <row r="13">
      <c r="A13" t="inlineStr">
        <is>
          <t>Rent</t>
        </is>
      </c>
      <c r="B13">
        <f>SUMIF('2026-07'!C2:C1000, "Rent", '2026-07'!D2:D1000)</f>
        <v/>
      </c>
      <c r="C13">
        <f>SUMIF('2026-08'!C2:C1000, "Rent", '2026-08'!D2:D1000)</f>
        <v/>
      </c>
      <c r="D13">
        <f>SUMIF('2026-09'!C2:C1000, "Rent", '2026-09'!D2:D1000)</f>
        <v/>
      </c>
    </row>
    <row r="14">
      <c r="A14" t="inlineStr">
        <is>
          <t>Subscriptions</t>
        </is>
      </c>
      <c r="B14">
        <f>SUMIF('2026-07'!C2:C1000, "Subscriptions", '2026-07'!D2:D1000)</f>
        <v/>
      </c>
      <c r="C14">
        <f>SUMIF('2026-08'!C2:C1000, "Subscriptions", '2026-08'!D2:D1000)</f>
        <v/>
      </c>
      <c r="D14">
        <f>SUMIF('2026-09'!C2:C1000, "Subscriptions", '2026-09'!D2:D1000)</f>
        <v/>
      </c>
    </row>
    <row r="15">
      <c r="A15" t="inlineStr">
        <is>
          <t>Transport</t>
        </is>
      </c>
      <c r="B15">
        <f>SUMIF('2026-07'!C2:C1000, "Transport", '2026-07'!D2:D1000)</f>
        <v/>
      </c>
      <c r="C15">
        <f>SUMIF('2026-08'!C2:C1000, "Transport", '2026-08'!D2:D1000)</f>
        <v/>
      </c>
      <c r="D15">
        <f>SUMIF('2026-09'!C2:C1000, "Transport", '2026-09'!D2:D1000)</f>
        <v/>
      </c>
    </row>
    <row r="16">
      <c r="A16" t="inlineStr">
        <is>
          <t>Travel</t>
        </is>
      </c>
      <c r="B16">
        <f>SUMIF('2026-07'!C2:C1000, "Travel", '2026-07'!D2:D1000)</f>
        <v/>
      </c>
      <c r="C16">
        <f>SUMIF('2026-08'!C2:C1000, "Travel", '2026-08'!D2:D1000)</f>
        <v/>
      </c>
      <c r="D16">
        <f>SUMIF('2026-09'!C2:C1000, "Travel", '2026-09'!D2:D1000)</f>
        <v/>
      </c>
    </row>
    <row r="17">
      <c r="A17" t="inlineStr">
        <is>
          <t>Utilities</t>
        </is>
      </c>
      <c r="B17">
        <f>SUMIF('2026-07'!C2:C1000, "Utilities", '2026-07'!D2:D1000)</f>
        <v/>
      </c>
      <c r="C17">
        <f>SUMIF('2026-08'!C2:C1000, "Utilities", '2026-08'!D2:D1000)</f>
        <v/>
      </c>
      <c r="D17">
        <f>SUMIF('2026-09'!C2:C1000, "Utilities", '2026-09'!D2:D1000)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2026-10-06T13:42:28Z</dcterms:created>
  <dcterms:modified xmlns:dcterms="http://purl.org/dc/terms/" xmlns:xsi="http://www.w3.org/2001/XMLSchema-instance" xsi:type="dcterms:W3CDTF">2026-10-06T13:42:28Z</dcterms:modified>
</cp:coreProperties>
</file>